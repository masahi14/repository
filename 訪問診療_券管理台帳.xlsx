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管理台帳" sheetId="1" state="visible" r:id="rId1"/>
    <sheet name="ダッシュボード" sheetId="2" state="visible" r:id="rId2"/>
    <sheet name="使い方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6"/>
    </font>
    <font>
      <i val="1"/>
      <color rgb="00888888"/>
      <sz val="9"/>
    </font>
    <font>
      <b val="1"/>
      <color rgb="00990000"/>
      <sz val="11"/>
    </font>
    <font>
      <b val="1"/>
      <color rgb="00990000"/>
      <sz val="14"/>
    </font>
    <font>
      <color rgb="00444444"/>
      <sz val="10"/>
    </font>
    <font>
      <b val="1"/>
      <color rgb="007D6608"/>
      <sz val="11"/>
    </font>
    <font>
      <b val="1"/>
      <color rgb="007D6608"/>
      <sz val="14"/>
    </font>
    <font>
      <b val="1"/>
      <color rgb="007F3F00"/>
      <sz val="11"/>
    </font>
    <font>
      <b val="1"/>
      <color rgb="007F3F00"/>
      <sz val="14"/>
    </font>
    <font>
      <b val="1"/>
      <color rgb="001B5E20"/>
      <sz val="11"/>
    </font>
    <font>
      <b val="1"/>
      <color rgb="001B5E20"/>
      <sz val="14"/>
    </font>
    <font>
      <b val="1"/>
      <color rgb="00FFFFFF"/>
      <sz val="14"/>
    </font>
    <font>
      <i val="1"/>
      <color rgb="00555555"/>
      <sz val="9"/>
    </font>
    <font>
      <b val="1"/>
      <color rgb="00FFFFFF"/>
      <sz val="15"/>
    </font>
    <font>
      <b val="1"/>
      <color rgb="001F4E79"/>
      <sz val="13"/>
    </font>
    <font>
      <b val="1"/>
      <color rgb="001F4E79"/>
      <sz val="11"/>
    </font>
    <font>
      <sz val="10"/>
    </font>
    <font>
      <i val="1"/>
      <color rgb="00990000"/>
      <sz val="10"/>
    </font>
    <font>
      <i val="1"/>
      <color rgb="007D6608"/>
      <sz val="10"/>
    </font>
    <font>
      <i val="1"/>
      <color rgb="007F3F00"/>
      <sz val="10"/>
    </font>
    <font>
      <i val="1"/>
      <color rgb="001B5E20"/>
      <sz val="10"/>
    </font>
    <font>
      <i val="1"/>
      <color rgb="00444444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0E0"/>
      </patternFill>
    </fill>
    <fill>
      <patternFill patternType="solid">
        <fgColor rgb="00F9F9F9"/>
      </patternFill>
    </fill>
    <fill>
      <patternFill patternType="solid">
        <fgColor rgb="00FFFACD"/>
      </patternFill>
    </fill>
    <fill>
      <patternFill patternType="solid">
        <fgColor rgb="00FFE8CC"/>
      </patternFill>
    </fill>
    <fill>
      <patternFill patternType="solid">
        <fgColor rgb="00E8F5E9"/>
      </patternFill>
    </fill>
    <fill>
      <patternFill patternType="solid">
        <fgColor rgb="0037474F"/>
      </patternFill>
    </fill>
    <fill>
      <patternFill patternType="solid">
        <fgColor rgb="00DEEA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indent="1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center" vertical="center"/>
    </xf>
    <xf numFmtId="0" fontId="16" fillId="9" borderId="0" applyAlignment="1" pivotButton="0" quotePrefix="0" xfId="0">
      <alignment vertical="center" indent="1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wrapText="1" indent="1"/>
    </xf>
    <xf numFmtId="0" fontId="20" fillId="0" borderId="0" applyAlignment="1" pivotButton="0" quotePrefix="0" xfId="0">
      <alignment wrapText="1" indent="1"/>
    </xf>
    <xf numFmtId="0" fontId="21" fillId="0" borderId="0" applyAlignment="1" pivotButton="0" quotePrefix="0" xfId="0">
      <alignment wrapText="1" indent="1"/>
    </xf>
    <xf numFmtId="0" fontId="22" fillId="0" borderId="0" applyAlignment="1" pivotButton="0" quotePrefix="0" xfId="0">
      <alignment wrapText="1" indent="1"/>
    </xf>
    <xf numFmtId="0" fontId="23" fillId="0" borderId="0" applyAlignment="1" pivotButton="0" quotePrefix="0" xfId="0">
      <alignment wrapText="1" indent="1"/>
    </xf>
  </cellXfs>
  <cellStyles count="1">
    <cellStyle name="Normal" xfId="0" builtinId="0" hidden="0"/>
  </cellStyles>
  <dxfs count="4">
    <dxf>
      <font>
        <color rgb="00990000"/>
      </font>
      <fill>
        <patternFill patternType="solid">
          <fgColor rgb="00FFE0E0"/>
        </patternFill>
      </fill>
    </dxf>
    <dxf>
      <font>
        <color rgb="007D6608"/>
      </font>
      <fill>
        <patternFill patternType="solid">
          <fgColor rgb="00FFFACD"/>
        </patternFill>
      </fill>
    </dxf>
    <dxf>
      <font>
        <color rgb="001B5E20"/>
      </font>
      <fill>
        <patternFill patternType="solid">
          <fgColor rgb="00E8F5E9"/>
        </patternFill>
      </fill>
    </dxf>
    <dxf>
      <font>
        <color rgb="007F3F00"/>
      </font>
      <fill>
        <patternFill patternType="solid">
          <fgColor rgb="00FFE8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6" customWidth="1" min="3" max="3"/>
    <col width="13" customWidth="1" min="4" max="4"/>
    <col width="14" customWidth="1" min="5" max="5"/>
    <col width="16" customWidth="1" min="6" max="6"/>
    <col width="15" customWidth="1" min="7" max="7"/>
    <col width="15" customWidth="1" min="8" max="8"/>
    <col width="18" customWidth="1" min="9" max="9"/>
    <col width="13" customWidth="1" min="10" max="10"/>
    <col width="10" customWidth="1" min="11" max="11"/>
    <col width="26" customWidth="1" min="12" max="12"/>
  </cols>
  <sheetData>
    <row r="1" ht="32" customHeight="1">
      <c r="A1" s="1" t="inlineStr">
        <is>
          <t>番号</t>
        </is>
      </c>
      <c r="B1" s="1" t="inlineStr">
        <is>
          <t>患者ID</t>
        </is>
      </c>
      <c r="C1" s="1" t="inlineStr">
        <is>
          <t>患者名</t>
        </is>
      </c>
      <c r="D1" s="1" t="inlineStr">
        <is>
          <t>訪問日</t>
        </is>
      </c>
      <c r="E1" s="1" t="inlineStr">
        <is>
          <t>請求対象月</t>
        </is>
      </c>
      <c r="F1" s="1" t="inlineStr">
        <is>
          <t>券種別</t>
        </is>
      </c>
      <c r="G1" s="1" t="inlineStr">
        <is>
          <t>医療券到着日</t>
        </is>
      </c>
      <c r="H1" s="1" t="inlineStr">
        <is>
          <t>介護券到着日</t>
        </is>
      </c>
      <c r="I1" s="1" t="inlineStr">
        <is>
          <t>請求ステータス</t>
        </is>
      </c>
      <c r="J1" s="1" t="inlineStr">
        <is>
          <t>請求日</t>
        </is>
      </c>
      <c r="K1" s="1" t="inlineStr">
        <is>
          <t>担当者</t>
        </is>
      </c>
      <c r="L1" s="1" t="inlineStr">
        <is>
          <t>メモ</t>
        </is>
      </c>
    </row>
    <row r="2">
      <c r="A2" s="2" t="n">
        <v>1</v>
      </c>
      <c r="B2" s="2" t="inlineStr">
        <is>
          <t>P001</t>
        </is>
      </c>
      <c r="C2" s="2" t="inlineStr">
        <is>
          <t>山田 太郎</t>
        </is>
      </c>
      <c r="D2" s="2" t="inlineStr">
        <is>
          <t>2026-04-10</t>
        </is>
      </c>
      <c r="E2" s="2" t="inlineStr">
        <is>
          <t>2026年4月</t>
        </is>
      </c>
      <c r="F2" s="2" t="inlineStr">
        <is>
          <t>医療券</t>
        </is>
      </c>
      <c r="G2" s="2" t="inlineStr">
        <is>
          <t>2026-04-12</t>
        </is>
      </c>
      <c r="H2" s="2" t="inlineStr"/>
      <c r="I2" s="2" t="inlineStr">
        <is>
          <t>請求済み</t>
        </is>
      </c>
      <c r="J2" s="2" t="inlineStr">
        <is>
          <t>2026-05-10</t>
        </is>
      </c>
      <c r="K2" s="2" t="inlineStr">
        <is>
          <t>佐藤</t>
        </is>
      </c>
      <c r="L2" s="2" t="inlineStr"/>
    </row>
    <row r="3">
      <c r="A3" s="2" t="n">
        <v>2</v>
      </c>
      <c r="B3" s="2" t="inlineStr">
        <is>
          <t>P002</t>
        </is>
      </c>
      <c r="C3" s="2" t="inlineStr">
        <is>
          <t>鈴木 花子</t>
        </is>
      </c>
      <c r="D3" s="2" t="inlineStr">
        <is>
          <t>2026-04-11</t>
        </is>
      </c>
      <c r="E3" s="2" t="inlineStr">
        <is>
          <t>2026年4月</t>
        </is>
      </c>
      <c r="F3" s="2" t="inlineStr">
        <is>
          <t>介護券</t>
        </is>
      </c>
      <c r="G3" s="2" t="inlineStr"/>
      <c r="H3" s="2" t="inlineStr"/>
      <c r="I3" s="2" t="inlineStr">
        <is>
          <t>券未着-継続追跡</t>
        </is>
      </c>
      <c r="J3" s="2" t="inlineStr"/>
      <c r="K3" s="2" t="inlineStr">
        <is>
          <t>田中</t>
        </is>
      </c>
      <c r="L3" s="2" t="inlineStr">
        <is>
          <t>複数回催促済み</t>
        </is>
      </c>
    </row>
    <row r="4">
      <c r="A4" s="2" t="n">
        <v>3</v>
      </c>
      <c r="B4" s="2" t="inlineStr">
        <is>
          <t>P003</t>
        </is>
      </c>
      <c r="C4" s="2" t="inlineStr">
        <is>
          <t>高橋 一郎</t>
        </is>
      </c>
      <c r="D4" s="2" t="inlineStr">
        <is>
          <t>2026-04-15</t>
        </is>
      </c>
      <c r="E4" s="2" t="inlineStr">
        <is>
          <t>2026年4月</t>
        </is>
      </c>
      <c r="F4" s="2" t="inlineStr">
        <is>
          <t>医療券+介護券</t>
        </is>
      </c>
      <c r="G4" s="2" t="inlineStr">
        <is>
          <t>2026-05-20</t>
        </is>
      </c>
      <c r="H4" s="2" t="inlineStr"/>
      <c r="I4" s="2" t="inlineStr">
        <is>
          <t>月遅れ待ち</t>
        </is>
      </c>
      <c r="J4" s="2" t="inlineStr"/>
      <c r="K4" s="2" t="inlineStr">
        <is>
          <t>佐藤</t>
        </is>
      </c>
      <c r="L4" s="2" t="inlineStr">
        <is>
          <t>介護券到着待ち</t>
        </is>
      </c>
    </row>
    <row r="5">
      <c r="A5" s="2" t="n">
        <v>4</v>
      </c>
      <c r="B5" s="2" t="inlineStr">
        <is>
          <t>P004</t>
        </is>
      </c>
      <c r="C5" s="2" t="inlineStr">
        <is>
          <t>中村 美咲</t>
        </is>
      </c>
      <c r="D5" s="2" t="inlineStr">
        <is>
          <t>2026-05-02</t>
        </is>
      </c>
      <c r="E5" s="2" t="inlineStr">
        <is>
          <t>2026年5月</t>
        </is>
      </c>
      <c r="F5" s="2" t="inlineStr">
        <is>
          <t>医療券</t>
        </is>
      </c>
      <c r="G5" s="2" t="inlineStr"/>
      <c r="H5" s="2" t="inlineStr"/>
      <c r="I5" s="2" t="inlineStr">
        <is>
          <t>未請求</t>
        </is>
      </c>
      <c r="J5" s="2" t="inlineStr"/>
      <c r="K5" s="2" t="inlineStr">
        <is>
          <t>山本</t>
        </is>
      </c>
      <c r="L5" s="2" t="inlineStr"/>
    </row>
    <row r="6">
      <c r="A6" s="2" t="n">
        <v>5</v>
      </c>
      <c r="B6" s="2" t="inlineStr">
        <is>
          <t>P005</t>
        </is>
      </c>
      <c r="C6" s="2" t="inlineStr">
        <is>
          <t>小林 健二</t>
        </is>
      </c>
      <c r="D6" s="2" t="inlineStr">
        <is>
          <t>2026-05-08</t>
        </is>
      </c>
      <c r="E6" s="2" t="inlineStr">
        <is>
          <t>2026年5月</t>
        </is>
      </c>
      <c r="F6" s="2" t="inlineStr">
        <is>
          <t>医療券+介護券</t>
        </is>
      </c>
      <c r="G6" s="2" t="inlineStr"/>
      <c r="H6" s="2" t="inlineStr"/>
      <c r="I6" s="2" t="inlineStr">
        <is>
          <t>未請求</t>
        </is>
      </c>
      <c r="J6" s="2" t="inlineStr"/>
      <c r="K6" s="2" t="inlineStr">
        <is>
          <t>田中</t>
        </is>
      </c>
      <c r="L6" s="2" t="inlineStr"/>
    </row>
  </sheetData>
  <conditionalFormatting sqref="A2:L300">
    <cfRule type="expression" priority="1" dxfId="0">
      <formula>$I2="未請求"</formula>
    </cfRule>
    <cfRule type="expression" priority="2" dxfId="1">
      <formula>$I2="月遅れ待ち"</formula>
    </cfRule>
    <cfRule type="expression" priority="3" dxfId="2">
      <formula>$I2="請求済み"</formula>
    </cfRule>
    <cfRule type="expression" priority="4" dxfId="3">
      <formula>$I2="券未着-継続追跡"</formula>
    </cfRule>
  </conditionalFormatting>
  <dataValidations count="2">
    <dataValidation sqref="F2:F300" showDropDown="0" showInputMessage="0" showErrorMessage="1" allowBlank="1" errorTitle="入力エラー" error="リストから選択してください" type="list">
      <formula1>"医療券,介護券,医療券+介護券"</formula1>
    </dataValidation>
    <dataValidation sqref="I2:I300" showDropDown="0" showInputMessage="0" showErrorMessage="1" allowBlank="1" errorTitle="入力エラー" error="リストから選択してください" type="list">
      <formula1>"未請求,月遅れ待ち,請求済み,券未着-継続追跡"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1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0" customWidth="1" min="4" max="4"/>
  </cols>
  <sheetData>
    <row r="1" ht="36" customHeight="1">
      <c r="B1" s="3" t="inlineStr">
        <is>
          <t>訪問診療　券管理 ダッシュボード</t>
        </is>
      </c>
    </row>
    <row r="2">
      <c r="B2" s="4" t="inlineStr">
        <is>
          <t>※ 管理台帳シートのデータを参照して自動集計します</t>
        </is>
      </c>
    </row>
    <row r="3" ht="10" customHeight="1"/>
    <row r="4">
      <c r="B4" s="1" t="inlineStr">
        <is>
          <t>ステータス</t>
        </is>
      </c>
      <c r="C4" s="1" t="inlineStr">
        <is>
          <t>件数</t>
        </is>
      </c>
      <c r="D4" s="1" t="inlineStr">
        <is>
          <t>説明</t>
        </is>
      </c>
    </row>
    <row r="5" ht="24" customHeight="1">
      <c r="B5" s="5" t="inlineStr">
        <is>
          <t>未請求</t>
        </is>
      </c>
      <c r="C5" s="6">
        <f>COUNTIF(管理台帳!$I:$I,"未請求")</f>
        <v/>
      </c>
      <c r="D5" s="7" t="inlineStr">
        <is>
          <t>券が届いており、まだ請求していない</t>
        </is>
      </c>
    </row>
    <row r="6" ht="24" customHeight="1">
      <c r="B6" s="8" t="inlineStr">
        <is>
          <t>月遅れ待ち</t>
        </is>
      </c>
      <c r="C6" s="9">
        <f>COUNTIF(管理台帳!$I:$I,"月遅れ待ち")</f>
        <v/>
      </c>
      <c r="D6" s="7" t="inlineStr">
        <is>
          <t>先月分の券が届いており、月遅れ請求待ち</t>
        </is>
      </c>
    </row>
    <row r="7" ht="24" customHeight="1">
      <c r="B7" s="10" t="inlineStr">
        <is>
          <t>券未着-継続追跡</t>
        </is>
      </c>
      <c r="C7" s="11">
        <f>COUNTIF(管理台帳!$I:$I,"券未着-継続追跡")</f>
        <v/>
      </c>
      <c r="D7" s="7" t="inlineStr">
        <is>
          <t>券が届かず追跡中。早急に確認が必要</t>
        </is>
      </c>
    </row>
    <row r="8" ht="24" customHeight="1">
      <c r="B8" s="12" t="inlineStr">
        <is>
          <t>請求済み</t>
        </is>
      </c>
      <c r="C8" s="13">
        <f>COUNTIF(管理台帳!$I:$I,"請求済み")</f>
        <v/>
      </c>
      <c r="D8" s="7" t="inlineStr">
        <is>
          <t>請求完了済み</t>
        </is>
      </c>
    </row>
    <row r="9" ht="24" customHeight="1">
      <c r="B9" s="14" t="inlineStr">
        <is>
          <t>合計</t>
        </is>
      </c>
      <c r="C9" s="15">
        <f>SUM(C5:C8)</f>
        <v/>
      </c>
      <c r="D9" s="16" t="n"/>
    </row>
    <row r="11">
      <c r="B11" s="17" t="inlineStr">
        <is>
          <t>【使い方】管理台帳シートの「請求ステータス」列を更新すると、件数が自動反映されます。</t>
        </is>
      </c>
    </row>
  </sheetData>
  <mergeCells count="2">
    <mergeCell ref="B11:D11"/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20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60" customWidth="1" min="3" max="3"/>
  </cols>
  <sheetData>
    <row r="1" ht="36" customHeight="1">
      <c r="B1" s="18" t="inlineStr">
        <is>
          <t>訪問診療　券管理台帳　使い方ガイド</t>
        </is>
      </c>
    </row>
    <row r="3" ht="28" customHeight="1">
      <c r="B3" s="19" t="inlineStr">
        <is>
          <t>■ 基本的な入力手順</t>
        </is>
      </c>
    </row>
    <row r="4" ht="20" customHeight="1">
      <c r="B4" s="20" t="inlineStr">
        <is>
          <t>①</t>
        </is>
      </c>
      <c r="C4" s="21" t="inlineStr">
        <is>
          <t>訪問実施後すぐに「管理台帳」に患者情報（患者ID・患者名・訪問日・請求対象月・券種別）を入力する</t>
        </is>
      </c>
    </row>
    <row r="5" ht="20" customHeight="1">
      <c r="B5" s="20" t="inlineStr">
        <is>
          <t>②</t>
        </is>
      </c>
      <c r="C5" s="21" t="inlineStr">
        <is>
          <t>券が届いたら「医療券到着日」または「介護券到着日」に到着日を入力する</t>
        </is>
      </c>
    </row>
    <row r="6" ht="20" customHeight="1">
      <c r="B6" s="20" t="inlineStr">
        <is>
          <t>③</t>
        </is>
      </c>
      <c r="C6" s="21" t="inlineStr">
        <is>
          <t>請求可能になったら「請求ステータス」をドロップダウンで更新する</t>
        </is>
      </c>
    </row>
    <row r="7" ht="20" customHeight="1">
      <c r="B7" s="20" t="inlineStr">
        <is>
          <t>④</t>
        </is>
      </c>
      <c r="C7" s="21" t="inlineStr">
        <is>
          <t>請求完了後は「請求日」を入力し、ステータスを「請求済み」に変更する</t>
        </is>
      </c>
    </row>
    <row r="8" ht="20" customHeight="1">
      <c r="B8" s="20" t="inlineStr">
        <is>
          <t>⑤</t>
        </is>
      </c>
      <c r="C8" s="21" t="inlineStr">
        <is>
          <t>「ダッシュボード」シートで未請求・月遅れ・券未着の件数を確認する</t>
        </is>
      </c>
    </row>
    <row r="10" ht="28" customHeight="1">
      <c r="B10" s="19" t="inlineStr">
        <is>
          <t>■ ステータス説明</t>
        </is>
      </c>
    </row>
    <row r="11" ht="18" customHeight="1">
      <c r="B11" s="22" t="inlineStr">
        <is>
          <t>🔴 未請求　　　　：券が届いており、まだ請求していない状態</t>
        </is>
      </c>
    </row>
    <row r="12" ht="18" customHeight="1">
      <c r="B12" s="23" t="inlineStr">
        <is>
          <t>🟡 月遅れ待ち　　：前月以前の訪問で、月遅れ請求を予定している状態</t>
        </is>
      </c>
    </row>
    <row r="13" ht="18" customHeight="1">
      <c r="B13" s="24" t="inlineStr">
        <is>
          <t>🟠 券未着-継続追跡：券がいまだ届いていない。担当者が定期的に確認・催促が必要</t>
        </is>
      </c>
    </row>
    <row r="14" ht="18" customHeight="1">
      <c r="B14" s="25" t="inlineStr">
        <is>
          <t>🟢 請求済み　　　：レセプト請求が完了した状態</t>
        </is>
      </c>
    </row>
    <row r="16" ht="28" customHeight="1">
      <c r="B16" s="19" t="inlineStr">
        <is>
          <t>■ 運用ポイント</t>
        </is>
      </c>
    </row>
    <row r="17" ht="18" customHeight="1">
      <c r="B17" s="26" t="inlineStr">
        <is>
          <t>・毎月レセプト締め前に「ダッシュボード」の未請求件数を必ず確認する</t>
        </is>
      </c>
    </row>
    <row r="18" ht="18" customHeight="1">
      <c r="B18" s="26" t="inlineStr">
        <is>
          <t>・「券未着-継続追跡」が残っている患者は月1回以上、区役所等への確認を推奨</t>
        </is>
      </c>
    </row>
    <row r="19" ht="18" customHeight="1">
      <c r="B19" s="26" t="inlineStr">
        <is>
          <t>・患者IDは既存の電子カルテ番号と統一すると管理しやすい</t>
        </is>
      </c>
    </row>
    <row r="20" ht="18" customHeight="1">
      <c r="B20" s="26" t="inlineStr">
        <is>
          <t>・行が赤色 = 未請求（要対応）、橙色 = 追跡中（要確認）を意識して運用する</t>
        </is>
      </c>
    </row>
  </sheetData>
  <mergeCells count="12">
    <mergeCell ref="B13:C13"/>
    <mergeCell ref="B16:C16"/>
    <mergeCell ref="B11:C11"/>
    <mergeCell ref="B3:C3"/>
    <mergeCell ref="B19:C19"/>
    <mergeCell ref="B20:C20"/>
    <mergeCell ref="B10:C10"/>
    <mergeCell ref="B14:C14"/>
    <mergeCell ref="B17:C17"/>
    <mergeCell ref="B18:C18"/>
    <mergeCell ref="B1:C1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2026-06-11T10:40:17Z</dcterms:created>
  <dcterms:modified xsi:type="dcterms:W3CDTF">2026-06-11T10:40:17Z</dcterms:modified>
</cp:coreProperties>
</file>